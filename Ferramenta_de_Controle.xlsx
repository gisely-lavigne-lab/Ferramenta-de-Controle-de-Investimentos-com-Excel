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98776E2ACCC445/Documentos/"/>
    </mc:Choice>
  </mc:AlternateContent>
  <xr:revisionPtr revIDLastSave="594" documentId="8_{32179B81-9BF6-49F2-BA29-8FDC770F86C5}" xr6:coauthVersionLast="47" xr6:coauthVersionMax="47" xr10:uidLastSave="{53DD8A80-C0A4-4CB0-8510-DA6653074A94}"/>
  <bookViews>
    <workbookView xWindow="-120" yWindow="-120" windowWidth="20730" windowHeight="11040" tabRatio="320" xr2:uid="{960EE8D5-569A-46B3-A2B9-5C6BD4463E58}"/>
  </bookViews>
  <sheets>
    <sheet name="APP" sheetId="1" r:id="rId1"/>
    <sheet name="LIST_APOIO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_invest">APP!$D$14</definedName>
    <definedName name="taxa_rend_mensal">APP!$D$19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5" i="1" l="1"/>
  <c r="C66" i="1"/>
  <c r="C67" i="1"/>
  <c r="C68" i="1"/>
  <c r="C69" i="1"/>
  <c r="C64" i="1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C43" i="1"/>
  <c r="C44" i="1"/>
  <c r="C45" i="1"/>
  <c r="C46" i="1"/>
  <c r="C47" i="1"/>
  <c r="C42" i="1"/>
  <c r="B16" i="2"/>
  <c r="B17" i="2"/>
  <c r="B18" i="2"/>
  <c r="B19" i="2"/>
  <c r="B20" i="2"/>
  <c r="B21" i="2"/>
  <c r="B10" i="2"/>
  <c r="B11" i="2"/>
  <c r="B12" i="2"/>
  <c r="B13" i="2"/>
  <c r="B14" i="2"/>
  <c r="B15" i="2"/>
  <c r="B5" i="2"/>
  <c r="B6" i="2"/>
  <c r="B7" i="2"/>
  <c r="B8" i="2"/>
  <c r="B9" i="2"/>
  <c r="B4" i="2"/>
  <c r="D39" i="1"/>
  <c r="C25" i="1"/>
  <c r="C26" i="1"/>
  <c r="C27" i="1"/>
  <c r="C28" i="1"/>
  <c r="C24" i="1"/>
  <c r="D20" i="1"/>
  <c r="D21" i="1" s="1"/>
  <c r="D14" i="1"/>
  <c r="D25" i="1"/>
  <c r="D26" i="1"/>
  <c r="D27" i="1"/>
  <c r="D28" i="1"/>
  <c r="D24" i="1"/>
  <c r="D61" i="1" l="1"/>
  <c r="C32" i="1"/>
  <c r="D32" i="1" s="1"/>
  <c r="C33" i="1"/>
  <c r="D33" i="1" s="1"/>
  <c r="C34" i="1"/>
  <c r="D34" i="1" s="1"/>
  <c r="C35" i="1"/>
  <c r="D35" i="1" s="1"/>
  <c r="C31" i="1"/>
  <c r="D31" i="1" s="1"/>
  <c r="D65" i="1"/>
  <c r="D66" i="1"/>
  <c r="D67" i="1"/>
  <c r="D68" i="1"/>
  <c r="D69" i="1"/>
  <c r="D64" i="1"/>
  <c r="D70" i="1" s="1"/>
  <c r="D43" i="1"/>
  <c r="D44" i="1"/>
  <c r="D45" i="1"/>
  <c r="D46" i="1"/>
  <c r="D47" i="1"/>
  <c r="D42" i="1"/>
  <c r="D48" i="1" s="1"/>
</calcChain>
</file>

<file path=xl/sharedStrings.xml><?xml version="1.0" encoding="utf-8"?>
<sst xmlns="http://schemas.openxmlformats.org/spreadsheetml/2006/main" count="128" uniqueCount="35">
  <si>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</si>
  <si>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</si>
  <si>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</si>
  <si>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</si>
  <si>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</si>
  <si>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</si>
  <si>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teria em 2 anos?</t>
  </si>
  <si>
    <t>Quanto teria em 5 anos?</t>
  </si>
  <si>
    <t>Quanto teria em 10 anos?</t>
  </si>
  <si>
    <t>Quanto teria em 20 anos?</t>
  </si>
  <si>
    <t>CENÁRIOS</t>
  </si>
  <si>
    <t>Quanto teria em 30 anos?</t>
  </si>
  <si>
    <t>Dividendos</t>
  </si>
  <si>
    <t>CONFIGURAÇÕES</t>
  </si>
  <si>
    <t>Salário</t>
  </si>
  <si>
    <t>Rendimento Carteira</t>
  </si>
  <si>
    <t>Conservador</t>
  </si>
  <si>
    <t>Moderado</t>
  </si>
  <si>
    <t>Valor a ser investido po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</si>
  <si>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</si>
  <si>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</si>
  <si>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</si>
  <si>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</si>
  <si>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</si>
  <si>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</si>
  <si>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</si>
  <si>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</si>
  <si>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</si>
  <si>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HOTELÁRIAS</t>
  </si>
  <si>
    <t>%</t>
  </si>
  <si>
    <t>CHAVE</t>
  </si>
  <si>
    <t>Agressivo</t>
  </si>
  <si>
    <t>Valor sugerido por mês (30%)</t>
  </si>
  <si>
    <t>Sugestão de investimento (30%)</t>
  </si>
  <si>
    <t>CENÁRIOS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</si>
</sst>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9C57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2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4" borderId="0" xfId="0" applyFont="1" applyFill="1" applyAlignment="1">
      <alignment vertical="center"/>
    </xf>
    <xf numFmtId="0" fontId="0" fillId="4" borderId="0" xfId="0" applyFill="1"/>
    <xf numFmtId="164" fontId="5" fillId="0" borderId="6" xfId="1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0" fontId="5" fillId="0" borderId="8" xfId="0" applyNumberFormat="1" applyFont="1" applyBorder="1" applyAlignment="1">
      <alignment horizontal="center"/>
    </xf>
    <xf numFmtId="8" fontId="5" fillId="3" borderId="8" xfId="0" applyNumberFormat="1" applyFont="1" applyFill="1" applyBorder="1" applyAlignment="1">
      <alignment horizontal="center"/>
    </xf>
    <xf numFmtId="8" fontId="5" fillId="3" borderId="10" xfId="0" applyNumberFormat="1" applyFont="1" applyFill="1" applyBorder="1" applyAlignment="1">
      <alignment horizontal="center"/>
    </xf>
    <xf numFmtId="164" fontId="4" fillId="2" borderId="11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0" fontId="8" fillId="0" borderId="0" xfId="0" applyFont="1"/>
    <xf numFmtId="164" fontId="4" fillId="3" borderId="10" xfId="1" applyNumberFormat="1" applyFont="1" applyFill="1" applyBorder="1" applyAlignment="1">
      <alignment horizontal="center"/>
    </xf>
    <xf numFmtId="0" fontId="5" fillId="3" borderId="17" xfId="0" applyFont="1" applyFill="1" applyBorder="1" applyAlignment="1">
      <alignment horizontal="left" indent="2"/>
    </xf>
    <xf numFmtId="0" fontId="5" fillId="3" borderId="18" xfId="0" applyFont="1" applyFill="1" applyBorder="1" applyAlignment="1">
      <alignment horizontal="left" indent="2"/>
    </xf>
    <xf numFmtId="0" fontId="5" fillId="3" borderId="19" xfId="0" applyFont="1" applyFill="1" applyBorder="1" applyAlignment="1">
      <alignment horizontal="left" indent="2"/>
    </xf>
    <xf numFmtId="0" fontId="5" fillId="3" borderId="20" xfId="0" applyFont="1" applyFill="1" applyBorder="1" applyAlignment="1">
      <alignment horizontal="left" indent="2"/>
    </xf>
    <xf numFmtId="0" fontId="4" fillId="2" borderId="5" xfId="0" applyFont="1" applyFill="1" applyBorder="1" applyAlignment="1">
      <alignment horizontal="left" indent="2"/>
    </xf>
    <xf numFmtId="0" fontId="4" fillId="2" borderId="7" xfId="0" applyFont="1" applyFill="1" applyBorder="1" applyAlignment="1">
      <alignment horizontal="left" indent="2"/>
    </xf>
    <xf numFmtId="0" fontId="4" fillId="2" borderId="9" xfId="0" applyFont="1" applyFill="1" applyBorder="1" applyAlignment="1">
      <alignment horizontal="left" indent="2"/>
    </xf>
    <xf numFmtId="164" fontId="4" fillId="4" borderId="13" xfId="1" applyNumberFormat="1" applyFont="1" applyFill="1" applyBorder="1" applyAlignment="1">
      <alignment horizontal="center"/>
    </xf>
    <xf numFmtId="10" fontId="4" fillId="4" borderId="8" xfId="0" applyNumberFormat="1" applyFont="1" applyFill="1" applyBorder="1" applyAlignment="1">
      <alignment horizontal="center"/>
    </xf>
    <xf numFmtId="0" fontId="4" fillId="3" borderId="15" xfId="0" applyFont="1" applyFill="1" applyBorder="1" applyAlignment="1">
      <alignment horizontal="left" indent="2"/>
    </xf>
    <xf numFmtId="0" fontId="4" fillId="3" borderId="16" xfId="0" applyFont="1" applyFill="1" applyBorder="1" applyAlignment="1">
      <alignment horizontal="left" indent="2"/>
    </xf>
    <xf numFmtId="0" fontId="4" fillId="3" borderId="17" xfId="0" applyFont="1" applyFill="1" applyBorder="1" applyAlignment="1">
      <alignment horizontal="left" indent="2"/>
    </xf>
    <xf numFmtId="0" fontId="4" fillId="3" borderId="18" xfId="0" applyFont="1" applyFill="1" applyBorder="1" applyAlignment="1">
      <alignment horizontal="left" indent="2"/>
    </xf>
    <xf numFmtId="0" fontId="9" fillId="0" borderId="0" xfId="0" applyFont="1"/>
    <xf numFmtId="0" fontId="4" fillId="0" borderId="0" xfId="0" applyFont="1"/>
    <xf numFmtId="0" fontId="9" fillId="0" borderId="0" xfId="0" applyFont="1" applyAlignment="1">
      <alignment horizontal="center"/>
    </xf>
    <xf numFmtId="0" fontId="9" fillId="0" borderId="21" xfId="0" applyFont="1" applyBorder="1"/>
    <xf numFmtId="0" fontId="9" fillId="0" borderId="0" xfId="0" applyFont="1" applyBorder="1"/>
    <xf numFmtId="0" fontId="4" fillId="0" borderId="22" xfId="0" applyFont="1" applyBorder="1"/>
    <xf numFmtId="0" fontId="4" fillId="0" borderId="0" xfId="0" applyFont="1" applyBorder="1"/>
    <xf numFmtId="0" fontId="4" fillId="0" borderId="23" xfId="0" applyFont="1" applyBorder="1"/>
    <xf numFmtId="0" fontId="4" fillId="0" borderId="22" xfId="0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164" fontId="4" fillId="0" borderId="23" xfId="0" applyNumberFormat="1" applyFont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164" fontId="4" fillId="7" borderId="26" xfId="0" applyNumberFormat="1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5" fillId="7" borderId="29" xfId="0" applyFont="1" applyFill="1" applyBorder="1" applyAlignment="1">
      <alignment horizontal="center"/>
    </xf>
    <xf numFmtId="0" fontId="4" fillId="3" borderId="15" xfId="0" applyFont="1" applyFill="1" applyBorder="1"/>
    <xf numFmtId="0" fontId="4" fillId="3" borderId="21" xfId="0" applyFont="1" applyFill="1" applyBorder="1"/>
    <xf numFmtId="164" fontId="4" fillId="3" borderId="30" xfId="1" applyNumberFormat="1" applyFont="1" applyFill="1" applyBorder="1" applyAlignment="1">
      <alignment horizontal="center"/>
    </xf>
    <xf numFmtId="9" fontId="4" fillId="0" borderId="0" xfId="2" applyFont="1" applyBorder="1" applyAlignment="1">
      <alignment horizontal="center"/>
    </xf>
    <xf numFmtId="164" fontId="4" fillId="0" borderId="23" xfId="1" applyNumberFormat="1" applyFont="1" applyBorder="1" applyAlignment="1">
      <alignment horizontal="center"/>
    </xf>
    <xf numFmtId="0" fontId="4" fillId="7" borderId="25" xfId="0" applyFont="1" applyFill="1" applyBorder="1"/>
    <xf numFmtId="0" fontId="5" fillId="6" borderId="1" xfId="3" applyFont="1" applyFill="1" applyBorder="1" applyAlignment="1"/>
    <xf numFmtId="0" fontId="10" fillId="6" borderId="14" xfId="3" applyFont="1" applyFill="1" applyBorder="1"/>
    <xf numFmtId="0" fontId="4" fillId="6" borderId="2" xfId="3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9" fillId="0" borderId="22" xfId="0" applyFont="1" applyBorder="1"/>
    <xf numFmtId="9" fontId="9" fillId="0" borderId="23" xfId="0" applyNumberFormat="1" applyFont="1" applyBorder="1" applyAlignment="1">
      <alignment horizontal="center"/>
    </xf>
    <xf numFmtId="0" fontId="9" fillId="0" borderId="15" xfId="0" applyFont="1" applyBorder="1"/>
    <xf numFmtId="9" fontId="9" fillId="0" borderId="30" xfId="0" applyNumberFormat="1" applyFont="1" applyBorder="1" applyAlignment="1">
      <alignment horizontal="center"/>
    </xf>
    <xf numFmtId="0" fontId="9" fillId="0" borderId="24" xfId="0" applyFont="1" applyBorder="1"/>
    <xf numFmtId="0" fontId="9" fillId="0" borderId="25" xfId="0" applyFont="1" applyBorder="1"/>
    <xf numFmtId="9" fontId="9" fillId="0" borderId="26" xfId="0" applyNumberFormat="1" applyFont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2" fillId="10" borderId="1" xfId="0" applyFont="1" applyFill="1" applyBorder="1"/>
    <xf numFmtId="0" fontId="12" fillId="10" borderId="14" xfId="0" applyFont="1" applyFill="1" applyBorder="1"/>
    <xf numFmtId="0" fontId="2" fillId="0" borderId="0" xfId="0" applyFont="1" applyFill="1" applyBorder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D85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APP!$C$41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APP!$B$42:$B$47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HOTELÁRIAS</c:v>
                </c:pt>
              </c:strCache>
            </c:strRef>
          </c:cat>
          <c:val>
            <c:numRef>
              <c:f>APP!$C$42:$C$47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6-4CD6-B044-7CC1E4218F15}"/>
            </c:ext>
          </c:extLst>
        </c:ser>
        <c:ser>
          <c:idx val="1"/>
          <c:order val="1"/>
          <c:tx>
            <c:strRef>
              <c:f>APP!$D$41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APP!$B$42:$B$47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HOTELÁRIAS</c:v>
                </c:pt>
              </c:strCache>
            </c:strRef>
          </c:cat>
          <c:val>
            <c:numRef>
              <c:f>APP!$D$42:$D$47</c:f>
              <c:numCache>
                <c:formatCode>"R$"\ #,##0.00</c:formatCode>
                <c:ptCount val="6"/>
                <c:pt idx="0">
                  <c:v>115.2</c:v>
                </c:pt>
                <c:pt idx="1">
                  <c:v>125.99999999999999</c:v>
                </c:pt>
                <c:pt idx="2">
                  <c:v>28.8</c:v>
                </c:pt>
                <c:pt idx="3">
                  <c:v>18</c:v>
                </c:pt>
                <c:pt idx="4">
                  <c:v>36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6-4CD6-B044-7CC1E4218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687271630221505E-2"/>
          <c:y val="0.83380174065957158"/>
          <c:w val="0.8397242600774476"/>
          <c:h val="0.136761031910031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APP!$C$63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APP!$B$64:$B$69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HOTELÁRIAS</c:v>
                </c:pt>
              </c:strCache>
            </c:strRef>
          </c:cat>
          <c:val>
            <c:numRef>
              <c:f>APP!$C$64:$C$69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B-46CA-A24F-6F6729EF4E8E}"/>
            </c:ext>
          </c:extLst>
        </c:ser>
        <c:ser>
          <c:idx val="1"/>
          <c:order val="1"/>
          <c:tx>
            <c:strRef>
              <c:f>APP!$D$63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APP!$B$64:$B$69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HOTELÁRIAS</c:v>
                </c:pt>
              </c:strCache>
            </c:strRef>
          </c:cat>
          <c:val>
            <c:numRef>
              <c:f>APP!$D$64:$D$69</c:f>
              <c:numCache>
                <c:formatCode>"R$"\ #,##0.00</c:formatCode>
                <c:ptCount val="6"/>
                <c:pt idx="0">
                  <c:v>240</c:v>
                </c:pt>
                <c:pt idx="1">
                  <c:v>262.5</c:v>
                </c:pt>
                <c:pt idx="2">
                  <c:v>60</c:v>
                </c:pt>
                <c:pt idx="3">
                  <c:v>37.5</c:v>
                </c:pt>
                <c:pt idx="4">
                  <c:v>75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B-46CA-A24F-6F6729EF4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263740960517709E-2"/>
          <c:y val="0.82227920022149192"/>
          <c:w val="0.85930175703355183"/>
          <c:h val="0.14714528186053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179293</xdr:colOff>
      <xdr:row>0</xdr:row>
      <xdr:rowOff>67235</xdr:rowOff>
    </xdr:from>
    <xdr:to>
      <xdr:col>4</xdr:col>
      <xdr:colOff>11204</xdr:colOff>
      <xdr:row>8</xdr:row>
      <xdr:rowOff>33617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4C7C17C-9349-5F9F-B00A-C07E52058D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4" t="-1574" r="3289" b="1574"/>
        <a:stretch>
          <a:fillRect/>
        </a:stretch>
      </xdr:blipFill>
      <xdr:spPr>
        <a:xfrm>
          <a:off x="179293" y="67235"/>
          <a:ext cx="6163235" cy="1423147"/>
        </a:xfrm>
        <a:prstGeom prst="rect">
          <a:avLst/>
        </a:prstGeom>
      </xdr:spPr>
    </xdr:pic>
    <xdr:clientData/>
  </xdr:twoCellAnchor>
  <xdr:twoCellAnchor>
    <xdr:from>
      <xdr:col>1</xdr:col>
      <xdr:colOff>11206</xdr:colOff>
      <xdr:row>48</xdr:row>
      <xdr:rowOff>78441</xdr:rowOff>
    </xdr:from>
    <xdr:to>
      <xdr:col>4</xdr:col>
      <xdr:colOff>11206</xdr:colOff>
      <xdr:row>58</xdr:row>
      <xdr:rowOff>89647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84893B-963E-A552-FF01-8A85B8E88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70</xdr:row>
      <xdr:rowOff>235322</xdr:rowOff>
    </xdr:from>
    <xdr:to>
      <xdr:col>4</xdr:col>
      <xdr:colOff>22412</xdr:colOff>
      <xdr:row>81</xdr:row>
      <xdr:rowOff>138953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14872B5-F247-B89E-3E3D-E48416DC1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5A57-1CB5-45F5-8417-269467B83E8B}">
  <sheetPr>
    <tabColor rgb="FFFFD85D"/>
  </sheetPr>
  <dimension ref="A1:XFC85"/>
  <sheetViews>
    <sheetView showGridLines="0" tabSelected="1" zoomScale="85" zoomScaleNormal="85" workbookViewId="0">
      <selection activeCell="F8" sqref="F8"/>
    </sheetView>
  </sheetViews>
  <sheetFormatPr defaultColWidth="0" defaultRowHeight="15" x14ac:dyDescent="0.25"/>
  <cols>
    <col min="1" max="1" width="2.7109375" customWidth="1"/>
    <col min="2" max="2" width="34.5703125" customWidth="1"/>
    <col min="3" max="3" width="39.7109375" customWidth="1"/>
    <col min="4" max="4" width="18" bestFit="1" customWidth="1"/>
    <col min="5" max="5" width="2.28515625" customWidth="1"/>
    <col min="6" max="6" width="2.85546875" customWidth="1"/>
    <col min="7" max="7" width="9.140625" hidden="1" customWidth="1"/>
    <col min="8" max="16383" width="9.140625" hidden="1"/>
    <col min="16384" max="16384" width="0.28515625" customWidth="1"/>
  </cols>
  <sheetData>
    <row r="1" spans="2:4" ht="9.75" customHeight="1" x14ac:dyDescent="0.25"/>
    <row r="9" spans="2:4" ht="8.25" customHeight="1" x14ac:dyDescent="0.25"/>
    <row r="10" spans="2:4" ht="9" customHeight="1" thickBot="1" x14ac:dyDescent="0.3"/>
    <row r="11" spans="2:4" ht="23.25" customHeight="1" x14ac:dyDescent="0.25">
      <c r="B11" s="52" t="s">
        <v>13</v>
      </c>
      <c r="C11" s="53"/>
      <c r="D11" s="54"/>
    </row>
    <row r="12" spans="2:4" ht="16.5" customHeight="1" x14ac:dyDescent="0.3">
      <c r="B12" s="22" t="s">
        <v>14</v>
      </c>
      <c r="C12" s="23"/>
      <c r="D12" s="20">
        <v>2500</v>
      </c>
    </row>
    <row r="13" spans="2:4" ht="16.5" customHeight="1" x14ac:dyDescent="0.3">
      <c r="B13" s="24" t="s">
        <v>15</v>
      </c>
      <c r="C13" s="25"/>
      <c r="D13" s="21">
        <v>6.0000000000000001E-3</v>
      </c>
    </row>
    <row r="14" spans="2:4" ht="16.5" customHeight="1" thickBot="1" x14ac:dyDescent="0.35">
      <c r="B14" s="15" t="s">
        <v>33</v>
      </c>
      <c r="C14" s="16"/>
      <c r="D14" s="12">
        <f>D12*30%</f>
        <v>750</v>
      </c>
    </row>
    <row r="15" spans="2:4" ht="16.5" customHeight="1" thickBot="1" x14ac:dyDescent="0.3"/>
    <row r="16" spans="2:4" ht="24" x14ac:dyDescent="0.25">
      <c r="B16" s="55" t="s">
        <v>0</v>
      </c>
      <c r="C16" s="56"/>
      <c r="D16" s="57"/>
    </row>
    <row r="17" spans="1:5" ht="18.75" x14ac:dyDescent="0.3">
      <c r="B17" s="22" t="s">
        <v>1</v>
      </c>
      <c r="C17" s="23"/>
      <c r="D17" s="4">
        <v>360</v>
      </c>
    </row>
    <row r="18" spans="1:5" ht="18.75" x14ac:dyDescent="0.3">
      <c r="B18" s="24" t="s">
        <v>2</v>
      </c>
      <c r="C18" s="25"/>
      <c r="D18" s="5">
        <v>3</v>
      </c>
    </row>
    <row r="19" spans="1:5" ht="18.75" x14ac:dyDescent="0.3">
      <c r="B19" s="24" t="s">
        <v>3</v>
      </c>
      <c r="C19" s="25"/>
      <c r="D19" s="6">
        <v>1.0789999999999999E-2</v>
      </c>
    </row>
    <row r="20" spans="1:5" ht="18.75" x14ac:dyDescent="0.3">
      <c r="B20" s="13" t="s">
        <v>4</v>
      </c>
      <c r="C20" s="14"/>
      <c r="D20" s="7">
        <f>FV(taxa_rend_mensal,QTD_anos*12,aporte*(-1))</f>
        <v>15735.014648287959</v>
      </c>
    </row>
    <row r="21" spans="1:5" ht="24.75" thickBot="1" x14ac:dyDescent="0.35">
      <c r="A21" s="11"/>
      <c r="B21" s="15" t="s">
        <v>5</v>
      </c>
      <c r="C21" s="16"/>
      <c r="D21" s="8">
        <f>patrimonio*rendimento_carteira</f>
        <v>94.410087889727762</v>
      </c>
      <c r="E21" s="2"/>
    </row>
    <row r="22" spans="1:5" ht="15.75" thickBot="1" x14ac:dyDescent="0.3">
      <c r="A22" s="11"/>
      <c r="E22" s="3"/>
    </row>
    <row r="23" spans="1:5" ht="24" x14ac:dyDescent="0.25">
      <c r="A23" s="11"/>
      <c r="B23" s="58" t="s">
        <v>10</v>
      </c>
      <c r="C23" s="59"/>
      <c r="D23" s="60" t="s">
        <v>12</v>
      </c>
      <c r="E23" s="3"/>
    </row>
    <row r="24" spans="1:5" ht="18.75" x14ac:dyDescent="0.3">
      <c r="A24" s="1">
        <v>2</v>
      </c>
      <c r="B24" s="17" t="s">
        <v>6</v>
      </c>
      <c r="C24" s="9">
        <f>FV($D$19,$A24*12,$D$17*(-1))</f>
        <v>9801.9458271522781</v>
      </c>
      <c r="D24" s="10">
        <f>C24*rendimento_carteira</f>
        <v>58.811674962913671</v>
      </c>
      <c r="E24" s="3"/>
    </row>
    <row r="25" spans="1:5" ht="18.75" x14ac:dyDescent="0.3">
      <c r="A25" s="1">
        <v>5</v>
      </c>
      <c r="B25" s="18" t="s">
        <v>7</v>
      </c>
      <c r="C25" s="9">
        <f t="shared" ref="C25:C28" si="0">FV($D$19,$A25*12,$D$17*(-1))</f>
        <v>30159.689039455552</v>
      </c>
      <c r="D25" s="10">
        <f>C25*rendimento_carteira</f>
        <v>180.95813423673331</v>
      </c>
      <c r="E25" s="3"/>
    </row>
    <row r="26" spans="1:5" ht="18.75" x14ac:dyDescent="0.3">
      <c r="A26" s="1">
        <v>10</v>
      </c>
      <c r="B26" s="18" t="s">
        <v>8</v>
      </c>
      <c r="C26" s="9">
        <f t="shared" si="0"/>
        <v>87582.316510861987</v>
      </c>
      <c r="D26" s="10">
        <f>C26*rendimento_carteira</f>
        <v>525.49389906517195</v>
      </c>
    </row>
    <row r="27" spans="1:5" ht="18.75" x14ac:dyDescent="0.3">
      <c r="A27" s="1">
        <v>20</v>
      </c>
      <c r="B27" s="18" t="s">
        <v>9</v>
      </c>
      <c r="C27" s="9">
        <f t="shared" si="0"/>
        <v>405071.42403494904</v>
      </c>
      <c r="D27" s="10">
        <f>C27*rendimento_carteira</f>
        <v>2430.4285442096943</v>
      </c>
    </row>
    <row r="28" spans="1:5" ht="19.5" thickBot="1" x14ac:dyDescent="0.35">
      <c r="A28" s="1">
        <v>30</v>
      </c>
      <c r="B28" s="19" t="s">
        <v>11</v>
      </c>
      <c r="C28" s="9">
        <f t="shared" si="0"/>
        <v>1555981.0758016973</v>
      </c>
      <c r="D28" s="10">
        <f>C28*rendimento_carteira</f>
        <v>9335.8864548101847</v>
      </c>
    </row>
    <row r="29" spans="1:5" ht="15.75" thickBot="1" x14ac:dyDescent="0.3"/>
    <row r="30" spans="1:5" ht="24" x14ac:dyDescent="0.25">
      <c r="A30" s="1"/>
      <c r="B30" s="58" t="s">
        <v>34</v>
      </c>
      <c r="C30" s="59"/>
      <c r="D30" s="60" t="s">
        <v>12</v>
      </c>
    </row>
    <row r="31" spans="1:5" ht="18.75" x14ac:dyDescent="0.3">
      <c r="A31" s="71">
        <v>2</v>
      </c>
      <c r="B31" s="17" t="s">
        <v>6</v>
      </c>
      <c r="C31" s="9">
        <f>FV($D$19,$A31*12,sugest_invest*(-1))</f>
        <v>20420.720473233912</v>
      </c>
      <c r="D31" s="10">
        <f>C31*rendimento_carteira</f>
        <v>122.52432283940348</v>
      </c>
    </row>
    <row r="32" spans="1:5" ht="18.75" x14ac:dyDescent="0.3">
      <c r="A32" s="71">
        <v>5</v>
      </c>
      <c r="B32" s="18" t="s">
        <v>7</v>
      </c>
      <c r="C32" s="9">
        <f>FV($D$19,$A32*12,sugest_invest*(-1))</f>
        <v>62832.685498865736</v>
      </c>
      <c r="D32" s="10">
        <f>C32*rendimento_carteira</f>
        <v>376.9961129931944</v>
      </c>
    </row>
    <row r="33" spans="1:4" ht="18.75" x14ac:dyDescent="0.3">
      <c r="A33" s="71">
        <v>10</v>
      </c>
      <c r="B33" s="18" t="s">
        <v>8</v>
      </c>
      <c r="C33" s="9">
        <f>FV($D$19,$A33*12,sugest_invest*(-1))</f>
        <v>182463.15939762915</v>
      </c>
      <c r="D33" s="10">
        <f>C33*rendimento_carteira</f>
        <v>1094.778956385775</v>
      </c>
    </row>
    <row r="34" spans="1:4" ht="18.75" x14ac:dyDescent="0.3">
      <c r="A34" s="71">
        <v>20</v>
      </c>
      <c r="B34" s="18" t="s">
        <v>9</v>
      </c>
      <c r="C34" s="9">
        <f>FV($D$19,$A34*12,sugest_invest*(-1))</f>
        <v>843898.8000728105</v>
      </c>
      <c r="D34" s="10">
        <f>C34*rendimento_carteira</f>
        <v>5063.3928004368627</v>
      </c>
    </row>
    <row r="35" spans="1:4" ht="19.5" thickBot="1" x14ac:dyDescent="0.35">
      <c r="A35" s="71">
        <v>30</v>
      </c>
      <c r="B35" s="19" t="s">
        <v>11</v>
      </c>
      <c r="C35" s="9">
        <f>FV($D$19,$A35*12,sugest_invest*(-1))</f>
        <v>3241627.2412535357</v>
      </c>
      <c r="D35" s="10">
        <f>C35*rendimento_carteira</f>
        <v>19449.763447521214</v>
      </c>
    </row>
    <row r="36" spans="1:4" x14ac:dyDescent="0.25">
      <c r="A36" s="1"/>
    </row>
    <row r="37" spans="1:4" ht="15.75" thickBot="1" x14ac:dyDescent="0.3">
      <c r="A37" s="11"/>
    </row>
    <row r="38" spans="1:4" ht="18.75" x14ac:dyDescent="0.3">
      <c r="B38" s="49" t="s">
        <v>19</v>
      </c>
      <c r="C38" s="50"/>
      <c r="D38" s="51" t="s">
        <v>17</v>
      </c>
    </row>
    <row r="39" spans="1:4" ht="18.75" x14ac:dyDescent="0.3">
      <c r="B39" s="43" t="s">
        <v>18</v>
      </c>
      <c r="C39" s="44"/>
      <c r="D39" s="45">
        <f>aporte</f>
        <v>360</v>
      </c>
    </row>
    <row r="40" spans="1:4" ht="18.75" x14ac:dyDescent="0.3">
      <c r="B40" s="31"/>
      <c r="C40" s="32"/>
      <c r="D40" s="33"/>
    </row>
    <row r="41" spans="1:4" ht="18.75" x14ac:dyDescent="0.3">
      <c r="B41" s="40" t="s">
        <v>20</v>
      </c>
      <c r="C41" s="41" t="s">
        <v>21</v>
      </c>
      <c r="D41" s="42" t="s">
        <v>22</v>
      </c>
    </row>
    <row r="42" spans="1:4" ht="18.75" x14ac:dyDescent="0.3">
      <c r="B42" s="34" t="s">
        <v>23</v>
      </c>
      <c r="C42" s="35">
        <f>VLOOKUP($D$38&amp;"-"&amp;B42,LIST_APOIO!$B:$E,4,FALSE)</f>
        <v>0.32</v>
      </c>
      <c r="D42" s="36">
        <f>C42*$D$39</f>
        <v>115.2</v>
      </c>
    </row>
    <row r="43" spans="1:4" ht="18.75" x14ac:dyDescent="0.3">
      <c r="B43" s="34" t="s">
        <v>24</v>
      </c>
      <c r="C43" s="35">
        <f>VLOOKUP($D$38&amp;"-"&amp;B43,LIST_APOIO!$B:$E,4,FALSE)</f>
        <v>0.35</v>
      </c>
      <c r="D43" s="36">
        <f t="shared" ref="D43:D47" si="1">C43*$D$39</f>
        <v>125.99999999999999</v>
      </c>
    </row>
    <row r="44" spans="1:4" ht="18.75" x14ac:dyDescent="0.3">
      <c r="B44" s="34" t="s">
        <v>25</v>
      </c>
      <c r="C44" s="35">
        <f>VLOOKUP($D$38&amp;"-"&amp;B44,LIST_APOIO!$B:$E,4,FALSE)</f>
        <v>0.08</v>
      </c>
      <c r="D44" s="36">
        <f t="shared" si="1"/>
        <v>28.8</v>
      </c>
    </row>
    <row r="45" spans="1:4" ht="18.75" x14ac:dyDescent="0.3">
      <c r="B45" s="34" t="s">
        <v>26</v>
      </c>
      <c r="C45" s="35">
        <f>VLOOKUP($D$38&amp;"-"&amp;B45,LIST_APOIO!$B:$E,4,FALSE)</f>
        <v>0.05</v>
      </c>
      <c r="D45" s="36">
        <f t="shared" si="1"/>
        <v>18</v>
      </c>
    </row>
    <row r="46" spans="1:4" ht="18.75" x14ac:dyDescent="0.3">
      <c r="B46" s="34" t="s">
        <v>27</v>
      </c>
      <c r="C46" s="35">
        <f>VLOOKUP($D$38&amp;"-"&amp;B46,LIST_APOIO!$B:$E,4,FALSE)</f>
        <v>0.1</v>
      </c>
      <c r="D46" s="36">
        <f t="shared" si="1"/>
        <v>36</v>
      </c>
    </row>
    <row r="47" spans="1:4" ht="18.75" x14ac:dyDescent="0.3">
      <c r="B47" s="34" t="s">
        <v>28</v>
      </c>
      <c r="C47" s="35">
        <f>VLOOKUP($D$38&amp;"-"&amp;B47,LIST_APOIO!$B:$E,4,FALSE)</f>
        <v>0.1</v>
      </c>
      <c r="D47" s="36">
        <f t="shared" si="1"/>
        <v>36</v>
      </c>
    </row>
    <row r="48" spans="1:4" ht="19.5" thickBot="1" x14ac:dyDescent="0.35">
      <c r="B48" s="37"/>
      <c r="C48" s="38"/>
      <c r="D48" s="39">
        <f>SUM(D42:D47)</f>
        <v>360</v>
      </c>
    </row>
    <row r="49" spans="2:4" ht="20.25" customHeight="1" x14ac:dyDescent="0.25"/>
    <row r="50" spans="2:4" ht="20.25" customHeight="1" x14ac:dyDescent="0.25"/>
    <row r="51" spans="2:4" ht="20.25" customHeight="1" x14ac:dyDescent="0.25"/>
    <row r="52" spans="2:4" ht="20.25" customHeight="1" x14ac:dyDescent="0.25"/>
    <row r="53" spans="2:4" ht="20.25" customHeight="1" x14ac:dyDescent="0.25"/>
    <row r="54" spans="2:4" ht="20.25" customHeight="1" x14ac:dyDescent="0.25"/>
    <row r="55" spans="2:4" ht="20.25" customHeight="1" x14ac:dyDescent="0.25"/>
    <row r="56" spans="2:4" ht="20.25" customHeight="1" x14ac:dyDescent="0.25"/>
    <row r="57" spans="2:4" ht="20.25" customHeight="1" x14ac:dyDescent="0.25"/>
    <row r="58" spans="2:4" ht="20.25" customHeight="1" x14ac:dyDescent="0.25"/>
    <row r="59" spans="2:4" ht="20.25" customHeight="1" thickBot="1" x14ac:dyDescent="0.3"/>
    <row r="60" spans="2:4" ht="18.75" x14ac:dyDescent="0.3">
      <c r="B60" s="49" t="s">
        <v>19</v>
      </c>
      <c r="C60" s="50"/>
      <c r="D60" s="51" t="s">
        <v>17</v>
      </c>
    </row>
    <row r="61" spans="2:4" ht="18.75" x14ac:dyDescent="0.3">
      <c r="B61" s="43" t="s">
        <v>32</v>
      </c>
      <c r="C61" s="44"/>
      <c r="D61" s="45">
        <f>sugest_invest</f>
        <v>750</v>
      </c>
    </row>
    <row r="62" spans="2:4" ht="18.75" x14ac:dyDescent="0.3">
      <c r="B62" s="31"/>
      <c r="C62" s="32"/>
      <c r="D62" s="33"/>
    </row>
    <row r="63" spans="2:4" ht="18.75" x14ac:dyDescent="0.3">
      <c r="B63" s="40" t="s">
        <v>20</v>
      </c>
      <c r="C63" s="41" t="s">
        <v>21</v>
      </c>
      <c r="D63" s="42" t="s">
        <v>22</v>
      </c>
    </row>
    <row r="64" spans="2:4" ht="18.75" x14ac:dyDescent="0.3">
      <c r="B64" s="34" t="s">
        <v>23</v>
      </c>
      <c r="C64" s="46">
        <f>VLOOKUP($D$60&amp;"-"&amp;B64,LIST_APOIO!$K:$N,4,FALSE)</f>
        <v>0.32</v>
      </c>
      <c r="D64" s="47">
        <f>C64*$D$61</f>
        <v>240</v>
      </c>
    </row>
    <row r="65" spans="2:4" ht="18.75" x14ac:dyDescent="0.3">
      <c r="B65" s="34" t="s">
        <v>24</v>
      </c>
      <c r="C65" s="46">
        <f>VLOOKUP($D$60&amp;"-"&amp;B65,LIST_APOIO!$K:$N,4,FALSE)</f>
        <v>0.35</v>
      </c>
      <c r="D65" s="47">
        <f t="shared" ref="D65:D69" si="2">C65*$D$61</f>
        <v>262.5</v>
      </c>
    </row>
    <row r="66" spans="2:4" ht="18.75" x14ac:dyDescent="0.3">
      <c r="B66" s="34" t="s">
        <v>25</v>
      </c>
      <c r="C66" s="46">
        <f>VLOOKUP($D$60&amp;"-"&amp;B66,LIST_APOIO!$K:$N,4,FALSE)</f>
        <v>0.08</v>
      </c>
      <c r="D66" s="47">
        <f t="shared" si="2"/>
        <v>60</v>
      </c>
    </row>
    <row r="67" spans="2:4" ht="18.75" x14ac:dyDescent="0.3">
      <c r="B67" s="34" t="s">
        <v>26</v>
      </c>
      <c r="C67" s="46">
        <f>VLOOKUP($D$60&amp;"-"&amp;B67,LIST_APOIO!$K:$N,4,FALSE)</f>
        <v>0.05</v>
      </c>
      <c r="D67" s="47">
        <f t="shared" si="2"/>
        <v>37.5</v>
      </c>
    </row>
    <row r="68" spans="2:4" ht="18.75" x14ac:dyDescent="0.3">
      <c r="B68" s="34" t="s">
        <v>27</v>
      </c>
      <c r="C68" s="46">
        <f>VLOOKUP($D$60&amp;"-"&amp;B68,LIST_APOIO!$K:$N,4,FALSE)</f>
        <v>0.1</v>
      </c>
      <c r="D68" s="47">
        <f t="shared" si="2"/>
        <v>75</v>
      </c>
    </row>
    <row r="69" spans="2:4" ht="18.75" x14ac:dyDescent="0.3">
      <c r="B69" s="34" t="s">
        <v>28</v>
      </c>
      <c r="C69" s="46">
        <f>VLOOKUP($D$60&amp;"-"&amp;B69,LIST_APOIO!$K:$N,4,FALSE)</f>
        <v>0.1</v>
      </c>
      <c r="D69" s="47">
        <f t="shared" si="2"/>
        <v>75</v>
      </c>
    </row>
    <row r="70" spans="2:4" s="27" customFormat="1" ht="19.5" thickBot="1" x14ac:dyDescent="0.35">
      <c r="B70" s="37"/>
      <c r="C70" s="48"/>
      <c r="D70" s="39">
        <f>SUM(D64:D69)</f>
        <v>750</v>
      </c>
    </row>
    <row r="71" spans="2:4" s="27" customFormat="1" ht="18.75" x14ac:dyDescent="0.3"/>
    <row r="72" spans="2:4" s="27" customFormat="1" ht="18.75" x14ac:dyDescent="0.3"/>
    <row r="73" spans="2:4" s="27" customFormat="1" ht="18.75" x14ac:dyDescent="0.3"/>
    <row r="74" spans="2:4" s="27" customFormat="1" ht="18.75" x14ac:dyDescent="0.3"/>
    <row r="75" spans="2:4" s="27" customFormat="1" ht="18.75" x14ac:dyDescent="0.3"/>
    <row r="76" spans="2:4" s="27" customFormat="1" ht="18.75" x14ac:dyDescent="0.3"/>
    <row r="77" spans="2:4" s="27" customFormat="1" ht="18.75" x14ac:dyDescent="0.3"/>
    <row r="78" spans="2:4" s="27" customFormat="1" ht="18.75" x14ac:dyDescent="0.3"/>
    <row r="79" spans="2:4" s="27" customFormat="1" ht="18.75" x14ac:dyDescent="0.3"/>
    <row r="80" spans="2:4" s="27" customFormat="1" ht="18.75" x14ac:dyDescent="0.3"/>
    <row r="81" s="27" customFormat="1" ht="18.75" x14ac:dyDescent="0.3"/>
    <row r="82" s="27" customFormat="1" ht="18.75" x14ac:dyDescent="0.3"/>
    <row r="83" s="27" customFormat="1" ht="18.75" x14ac:dyDescent="0.3"/>
    <row r="84" s="27" customFormat="1" ht="18.75" x14ac:dyDescent="0.3"/>
    <row r="85" s="27" customFormat="1" ht="18.75" x14ac:dyDescent="0.3"/>
  </sheetData>
  <mergeCells count="12">
    <mergeCell ref="B30:C30"/>
    <mergeCell ref="B21:C21"/>
    <mergeCell ref="B16:D16"/>
    <mergeCell ref="B23:C23"/>
    <mergeCell ref="B12:C12"/>
    <mergeCell ref="B13:C13"/>
    <mergeCell ref="B14:C14"/>
    <mergeCell ref="B11:D11"/>
    <mergeCell ref="B17:C17"/>
    <mergeCell ref="B18:C18"/>
    <mergeCell ref="B19:C19"/>
    <mergeCell ref="B20:C20"/>
  </mergeCells>
  <dataValidations count="1">
    <dataValidation type="list" allowBlank="1" showInputMessage="1" showErrorMessage="1" sqref="D38 D60" xr:uid="{08C0121B-9F82-4324-A175-2C54940D0E59}">
      <formula1>"Agressivo,Conservador, Moderado"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A2EF-9621-4011-91F5-F7B4042E6B92}">
  <sheetPr>
    <tabColor rgb="FFFFFF66"/>
  </sheetPr>
  <dimension ref="B2:N21"/>
  <sheetViews>
    <sheetView showGridLines="0" showRowColHeaders="0" workbookViewId="0">
      <selection activeCell="C8" sqref="C8"/>
    </sheetView>
  </sheetViews>
  <sheetFormatPr defaultRowHeight="15.75" x14ac:dyDescent="0.25"/>
  <cols>
    <col min="1" max="1" width="9.140625" style="26"/>
    <col min="2" max="2" width="33" style="26" bestFit="1" customWidth="1"/>
    <col min="3" max="3" width="12.7109375" style="26" bestFit="1" customWidth="1"/>
    <col min="4" max="4" width="20.140625" style="26" bestFit="1" customWidth="1"/>
    <col min="5" max="5" width="11.28515625" style="26" customWidth="1"/>
    <col min="6" max="6" width="6" style="26" customWidth="1"/>
    <col min="7" max="7" width="0.140625" style="26" customWidth="1"/>
    <col min="8" max="8" width="1.7109375" style="26" customWidth="1"/>
    <col min="9" max="9" width="1.5703125" style="26" customWidth="1"/>
    <col min="10" max="10" width="9.140625" style="26"/>
    <col min="11" max="11" width="33" style="26" bestFit="1" customWidth="1"/>
    <col min="12" max="12" width="12.7109375" style="26" bestFit="1" customWidth="1"/>
    <col min="13" max="13" width="20.140625" style="26" bestFit="1" customWidth="1"/>
    <col min="14" max="16384" width="9.140625" style="26"/>
  </cols>
  <sheetData>
    <row r="2" spans="2:14" ht="16.5" thickBot="1" x14ac:dyDescent="0.3"/>
    <row r="3" spans="2:14" x14ac:dyDescent="0.25">
      <c r="B3" s="69" t="s">
        <v>30</v>
      </c>
      <c r="C3" s="70" t="s">
        <v>19</v>
      </c>
      <c r="D3" s="70" t="s">
        <v>20</v>
      </c>
      <c r="E3" s="68" t="s">
        <v>29</v>
      </c>
      <c r="I3" s="28"/>
      <c r="K3" s="69" t="s">
        <v>30</v>
      </c>
      <c r="L3" s="70" t="s">
        <v>19</v>
      </c>
      <c r="M3" s="70" t="s">
        <v>20</v>
      </c>
      <c r="N3" s="68" t="s">
        <v>29</v>
      </c>
    </row>
    <row r="4" spans="2:14" x14ac:dyDescent="0.25">
      <c r="B4" s="61" t="str">
        <f>C4&amp;"-"&amp;D4</f>
        <v>Conservador-PAPEL</v>
      </c>
      <c r="C4" s="30" t="s">
        <v>16</v>
      </c>
      <c r="D4" s="30" t="s">
        <v>23</v>
      </c>
      <c r="E4" s="62">
        <v>0.3</v>
      </c>
      <c r="H4"/>
      <c r="I4"/>
      <c r="K4" s="61" t="str">
        <f>L4&amp;"-"&amp;M4</f>
        <v>Conservador-PAPEL</v>
      </c>
      <c r="L4" s="30" t="s">
        <v>16</v>
      </c>
      <c r="M4" s="30" t="s">
        <v>23</v>
      </c>
      <c r="N4" s="62">
        <v>0.3</v>
      </c>
    </row>
    <row r="5" spans="2:14" x14ac:dyDescent="0.25">
      <c r="B5" s="61" t="str">
        <f t="shared" ref="B5:B21" si="0">C5&amp;"-"&amp;D5</f>
        <v>Conservador-TIJOLO</v>
      </c>
      <c r="C5" s="30" t="s">
        <v>16</v>
      </c>
      <c r="D5" s="30" t="s">
        <v>24</v>
      </c>
      <c r="E5" s="62">
        <v>0.5</v>
      </c>
      <c r="K5" s="61" t="str">
        <f t="shared" ref="K5:K21" si="1">L5&amp;"-"&amp;M5</f>
        <v>Conservador-TIJOLO</v>
      </c>
      <c r="L5" s="30" t="s">
        <v>16</v>
      </c>
      <c r="M5" s="30" t="s">
        <v>24</v>
      </c>
      <c r="N5" s="62">
        <v>0.5</v>
      </c>
    </row>
    <row r="6" spans="2:14" x14ac:dyDescent="0.25">
      <c r="B6" s="61" t="str">
        <f t="shared" si="0"/>
        <v>Conservador-HÍBRIDOS</v>
      </c>
      <c r="C6" s="30" t="s">
        <v>16</v>
      </c>
      <c r="D6" s="30" t="s">
        <v>25</v>
      </c>
      <c r="E6" s="62">
        <v>0.1</v>
      </c>
      <c r="K6" s="61" t="str">
        <f t="shared" si="1"/>
        <v>Conservador-HÍBRIDOS</v>
      </c>
      <c r="L6" s="30" t="s">
        <v>16</v>
      </c>
      <c r="M6" s="30" t="s">
        <v>25</v>
      </c>
      <c r="N6" s="62">
        <v>0.1</v>
      </c>
    </row>
    <row r="7" spans="2:14" x14ac:dyDescent="0.25">
      <c r="B7" s="61" t="str">
        <f t="shared" si="0"/>
        <v>Conservador-FOFs</v>
      </c>
      <c r="C7" s="30" t="s">
        <v>16</v>
      </c>
      <c r="D7" s="30" t="s">
        <v>26</v>
      </c>
      <c r="E7" s="62">
        <v>0.1</v>
      </c>
      <c r="K7" s="61" t="str">
        <f t="shared" si="1"/>
        <v>Conservador-FOFs</v>
      </c>
      <c r="L7" s="30" t="s">
        <v>16</v>
      </c>
      <c r="M7" s="30" t="s">
        <v>26</v>
      </c>
      <c r="N7" s="62">
        <v>0.1</v>
      </c>
    </row>
    <row r="8" spans="2:14" x14ac:dyDescent="0.25">
      <c r="B8" s="61" t="str">
        <f t="shared" si="0"/>
        <v>Conservador-DESENVOLVIMENTO</v>
      </c>
      <c r="C8" s="30" t="s">
        <v>16</v>
      </c>
      <c r="D8" s="30" t="s">
        <v>27</v>
      </c>
      <c r="E8" s="62">
        <v>0</v>
      </c>
      <c r="K8" s="61" t="str">
        <f t="shared" si="1"/>
        <v>Conservador-DESENVOLVIMENTO</v>
      </c>
      <c r="L8" s="30" t="s">
        <v>16</v>
      </c>
      <c r="M8" s="30" t="s">
        <v>27</v>
      </c>
      <c r="N8" s="62">
        <v>0</v>
      </c>
    </row>
    <row r="9" spans="2:14" x14ac:dyDescent="0.25">
      <c r="B9" s="63" t="str">
        <f t="shared" si="0"/>
        <v>Conservador-HOTELÁRIAS</v>
      </c>
      <c r="C9" s="29" t="s">
        <v>16</v>
      </c>
      <c r="D9" s="29" t="s">
        <v>28</v>
      </c>
      <c r="E9" s="64">
        <v>0</v>
      </c>
      <c r="K9" s="63" t="str">
        <f t="shared" si="1"/>
        <v>Conservador-HOTELÁRIAS</v>
      </c>
      <c r="L9" s="29" t="s">
        <v>16</v>
      </c>
      <c r="M9" s="29" t="s">
        <v>28</v>
      </c>
      <c r="N9" s="64">
        <v>0</v>
      </c>
    </row>
    <row r="10" spans="2:14" x14ac:dyDescent="0.25">
      <c r="B10" s="61" t="str">
        <f t="shared" si="0"/>
        <v>Moderado-PAPEL</v>
      </c>
      <c r="C10" s="30" t="s">
        <v>17</v>
      </c>
      <c r="D10" s="30" t="s">
        <v>23</v>
      </c>
      <c r="E10" s="62">
        <v>0.32</v>
      </c>
      <c r="K10" s="61" t="str">
        <f t="shared" si="1"/>
        <v>Moderado-PAPEL</v>
      </c>
      <c r="L10" s="30" t="s">
        <v>17</v>
      </c>
      <c r="M10" s="30" t="s">
        <v>23</v>
      </c>
      <c r="N10" s="62">
        <v>0.32</v>
      </c>
    </row>
    <row r="11" spans="2:14" x14ac:dyDescent="0.25">
      <c r="B11" s="61" t="str">
        <f t="shared" si="0"/>
        <v>Moderado-TIJOLO</v>
      </c>
      <c r="C11" s="30" t="s">
        <v>17</v>
      </c>
      <c r="D11" s="30" t="s">
        <v>24</v>
      </c>
      <c r="E11" s="62">
        <v>0.35</v>
      </c>
      <c r="K11" s="61" t="str">
        <f t="shared" si="1"/>
        <v>Moderado-TIJOLO</v>
      </c>
      <c r="L11" s="30" t="s">
        <v>17</v>
      </c>
      <c r="M11" s="30" t="s">
        <v>24</v>
      </c>
      <c r="N11" s="62">
        <v>0.35</v>
      </c>
    </row>
    <row r="12" spans="2:14" x14ac:dyDescent="0.25">
      <c r="B12" s="61" t="str">
        <f t="shared" si="0"/>
        <v>Moderado-HÍBRIDOS</v>
      </c>
      <c r="C12" s="30" t="s">
        <v>17</v>
      </c>
      <c r="D12" s="30" t="s">
        <v>25</v>
      </c>
      <c r="E12" s="62">
        <v>0.08</v>
      </c>
      <c r="K12" s="61" t="str">
        <f t="shared" si="1"/>
        <v>Moderado-HÍBRIDOS</v>
      </c>
      <c r="L12" s="30" t="s">
        <v>17</v>
      </c>
      <c r="M12" s="30" t="s">
        <v>25</v>
      </c>
      <c r="N12" s="62">
        <v>0.08</v>
      </c>
    </row>
    <row r="13" spans="2:14" x14ac:dyDescent="0.25">
      <c r="B13" s="61" t="str">
        <f t="shared" si="0"/>
        <v>Moderado-FOFs</v>
      </c>
      <c r="C13" s="30" t="s">
        <v>17</v>
      </c>
      <c r="D13" s="30" t="s">
        <v>26</v>
      </c>
      <c r="E13" s="62">
        <v>0.05</v>
      </c>
      <c r="K13" s="61" t="str">
        <f t="shared" si="1"/>
        <v>Moderado-FOFs</v>
      </c>
      <c r="L13" s="30" t="s">
        <v>17</v>
      </c>
      <c r="M13" s="30" t="s">
        <v>26</v>
      </c>
      <c r="N13" s="62">
        <v>0.05</v>
      </c>
    </row>
    <row r="14" spans="2:14" x14ac:dyDescent="0.25">
      <c r="B14" s="61" t="str">
        <f t="shared" si="0"/>
        <v>Moderado-DESENVOLVIMENTO</v>
      </c>
      <c r="C14" s="30" t="s">
        <v>17</v>
      </c>
      <c r="D14" s="30" t="s">
        <v>27</v>
      </c>
      <c r="E14" s="62">
        <v>0.1</v>
      </c>
      <c r="K14" s="61" t="str">
        <f t="shared" si="1"/>
        <v>Moderado-DESENVOLVIMENTO</v>
      </c>
      <c r="L14" s="30" t="s">
        <v>17</v>
      </c>
      <c r="M14" s="30" t="s">
        <v>27</v>
      </c>
      <c r="N14" s="62">
        <v>0.1</v>
      </c>
    </row>
    <row r="15" spans="2:14" x14ac:dyDescent="0.25">
      <c r="B15" s="63" t="str">
        <f t="shared" si="0"/>
        <v>Moderado-HOTELÁRIAS</v>
      </c>
      <c r="C15" s="29" t="s">
        <v>17</v>
      </c>
      <c r="D15" s="29" t="s">
        <v>28</v>
      </c>
      <c r="E15" s="64">
        <v>0.1</v>
      </c>
      <c r="K15" s="63" t="str">
        <f t="shared" si="1"/>
        <v>Moderado-HOTELÁRIAS</v>
      </c>
      <c r="L15" s="29" t="s">
        <v>17</v>
      </c>
      <c r="M15" s="29" t="s">
        <v>28</v>
      </c>
      <c r="N15" s="64">
        <v>0.1</v>
      </c>
    </row>
    <row r="16" spans="2:14" x14ac:dyDescent="0.25">
      <c r="B16" s="61" t="str">
        <f t="shared" si="0"/>
        <v>Agressivo-PAPEL</v>
      </c>
      <c r="C16" s="30" t="s">
        <v>31</v>
      </c>
      <c r="D16" s="30" t="s">
        <v>23</v>
      </c>
      <c r="E16" s="62">
        <v>0.5</v>
      </c>
      <c r="K16" s="61" t="str">
        <f t="shared" si="1"/>
        <v>Agressivo-PAPEL</v>
      </c>
      <c r="L16" s="30" t="s">
        <v>31</v>
      </c>
      <c r="M16" s="30" t="s">
        <v>23</v>
      </c>
      <c r="N16" s="62">
        <v>0.5</v>
      </c>
    </row>
    <row r="17" spans="2:14" x14ac:dyDescent="0.25">
      <c r="B17" s="61" t="str">
        <f t="shared" si="0"/>
        <v>Agressivo-TIJOLO</v>
      </c>
      <c r="C17" s="30" t="s">
        <v>31</v>
      </c>
      <c r="D17" s="30" t="s">
        <v>24</v>
      </c>
      <c r="E17" s="62">
        <v>0.1</v>
      </c>
      <c r="K17" s="61" t="str">
        <f t="shared" si="1"/>
        <v>Agressivo-TIJOLO</v>
      </c>
      <c r="L17" s="30" t="s">
        <v>31</v>
      </c>
      <c r="M17" s="30" t="s">
        <v>24</v>
      </c>
      <c r="N17" s="62">
        <v>0.1</v>
      </c>
    </row>
    <row r="18" spans="2:14" x14ac:dyDescent="0.25">
      <c r="B18" s="61" t="str">
        <f t="shared" si="0"/>
        <v>Agressivo-HÍBRIDOS</v>
      </c>
      <c r="C18" s="30" t="s">
        <v>31</v>
      </c>
      <c r="D18" s="30" t="s">
        <v>25</v>
      </c>
      <c r="E18" s="62">
        <v>0.05</v>
      </c>
      <c r="K18" s="61" t="str">
        <f t="shared" si="1"/>
        <v>Agressivo-HÍBRIDOS</v>
      </c>
      <c r="L18" s="30" t="s">
        <v>31</v>
      </c>
      <c r="M18" s="30" t="s">
        <v>25</v>
      </c>
      <c r="N18" s="62">
        <v>0.05</v>
      </c>
    </row>
    <row r="19" spans="2:14" x14ac:dyDescent="0.25">
      <c r="B19" s="61" t="str">
        <f t="shared" si="0"/>
        <v>Agressivo-FOFs</v>
      </c>
      <c r="C19" s="30" t="s">
        <v>31</v>
      </c>
      <c r="D19" s="30" t="s">
        <v>26</v>
      </c>
      <c r="E19" s="62">
        <v>0.05</v>
      </c>
      <c r="K19" s="61" t="str">
        <f t="shared" si="1"/>
        <v>Agressivo-FOFs</v>
      </c>
      <c r="L19" s="30" t="s">
        <v>31</v>
      </c>
      <c r="M19" s="30" t="s">
        <v>26</v>
      </c>
      <c r="N19" s="62">
        <v>0.05</v>
      </c>
    </row>
    <row r="20" spans="2:14" x14ac:dyDescent="0.25">
      <c r="B20" s="61" t="str">
        <f t="shared" si="0"/>
        <v>Agressivo-DESENVOLVIMENTO</v>
      </c>
      <c r="C20" s="30" t="s">
        <v>31</v>
      </c>
      <c r="D20" s="30" t="s">
        <v>27</v>
      </c>
      <c r="E20" s="62">
        <v>0.2</v>
      </c>
      <c r="K20" s="61" t="str">
        <f t="shared" si="1"/>
        <v>Agressivo-DESENVOLVIMENTO</v>
      </c>
      <c r="L20" s="30" t="s">
        <v>31</v>
      </c>
      <c r="M20" s="30" t="s">
        <v>27</v>
      </c>
      <c r="N20" s="62">
        <v>0.2</v>
      </c>
    </row>
    <row r="21" spans="2:14" ht="16.5" thickBot="1" x14ac:dyDescent="0.3">
      <c r="B21" s="65" t="str">
        <f t="shared" si="0"/>
        <v>Agressivo-HOTELÁRIAS</v>
      </c>
      <c r="C21" s="66" t="s">
        <v>31</v>
      </c>
      <c r="D21" s="66" t="s">
        <v>28</v>
      </c>
      <c r="E21" s="67">
        <v>0.1</v>
      </c>
      <c r="K21" s="65" t="str">
        <f t="shared" si="1"/>
        <v>Agressivo-HOTELÁRIAS</v>
      </c>
      <c r="L21" s="66" t="s">
        <v>31</v>
      </c>
      <c r="M21" s="66" t="s">
        <v>28</v>
      </c>
      <c r="N21" s="6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LIST_APOIO</vt:lpstr>
      <vt:lpstr>aporte</vt:lpstr>
      <vt:lpstr>patrimonio</vt:lpstr>
      <vt:lpstr>QTD_anos</vt:lpstr>
      <vt:lpstr>rendimento_carteira</vt:lpstr>
      <vt:lpstr>salario</vt:lpstr>
      <vt:lpstr>sugest_invest</vt:lpstr>
      <vt:lpstr>taxa_rend_mensal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Gisely Lavigne</dc:creator>
  <cp:lastModifiedBy>Gisely Lavigne</cp:lastModifiedBy>
  <dcterms:created xsi:type="dcterms:W3CDTF">2026-10-05T12:29:30Z</dcterms:created>
  <dcterms:modified xsi:type="dcterms:W3CDTF">2026-10-05T17:30:56Z</dcterms:modified>
</cp:coreProperties>
</file>